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91b0c0185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83c93b180c64ffe"/>
    <x:sheet xmlns:r="http://schemas.openxmlformats.org/officeDocument/2006/relationships" name="I O List" sheetId="2" r:id="Rd1f836ca7cc246dd"/>
    <x:sheet xmlns:r="http://schemas.openxmlformats.org/officeDocument/2006/relationships" name="Cause and Effect" sheetId="3" r:id="Ra71422cbcdc94063"/>
    <x:sheet xmlns:r="http://schemas.openxmlformats.org/officeDocument/2006/relationships" name="Alarm Register" sheetId="4" r:id="R6e3404b9584645e2"/>
    <x:sheet xmlns:r="http://schemas.openxmlformats.org/officeDocument/2006/relationships" name="Functional Tests" sheetId="5" r:id="R736d3d98b2ec4c91"/>
    <x:sheet xmlns:r="http://schemas.openxmlformats.org/officeDocument/2006/relationships" name="Setpoints" sheetId="6" r:id="Rb9a38f9d1502403c"/>
  </x:sheets>
</x:workbook>
</file>

<file path=xl/comments1.xml><?xml version="1.0" encoding="utf-8"?>
<x:comments xmlns:x="http://schemas.openxmlformats.org/spreadsheetml/2006/main">
  <x:authors>
    <x:author>tc={8EAC4324-A57B-298A-8491-35F25DBE054A}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workbook is an educational portfolio artifact. The protection demonstrator is not certified for safety service.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3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D6B78"/>
      <x:name val="Carlito"/>
    </x:font>
    <x:font>
      <x:b/>
      <x:sz val="11"/>
      <x:color rgb="FFFFFFFF"/>
      <x:name val="Carlito"/>
    </x:font>
    <x:font>
      <x:sz val="11"/>
      <x:color rgb="FF0B1F33"/>
      <x:name val="Carlito"/>
    </x:font>
    <x:font>
      <x:b/>
      <x:sz val="10"/>
      <x:color rgb="FF5D6B78"/>
      <x:name val="Carlito"/>
    </x:font>
    <x:font>
      <x:b/>
      <x:sz val="18"/>
      <x:color rgb="FF1261A0"/>
      <x:name val="Carlito"/>
    </x:font>
    <x:font>
      <x:b/>
      <x:sz val="12"/>
      <x:color rgb="FFFFFFFF"/>
      <x:name val="Carlito"/>
    </x:font>
    <x:font>
      <x:b/>
      <x:sz val="9"/>
      <x:color rgb="FF0B1F33"/>
      <x:name val="Carlito"/>
    </x:font>
    <x:font>
      <x:sz val="9"/>
      <x:color rgb="FF0B1F33"/>
      <x:name val="Carlito"/>
    </x:font>
    <x:font>
      <x:b/>
      <x:sz val="18"/>
      <x:color rgb="FFFFFFFF"/>
      <x:name val="Carlito"/>
    </x:font>
    <x:font>
      <x:i/>
      <x:sz val="10"/>
      <x:color rgb="FF5D6B78"/>
      <x:name val="Carlito"/>
    </x:font>
    <x:font>
      <x:b/>
      <x:sz val="10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0F4"/>
      </x:patternFill>
    </x:fill>
    <x:fill>
      <x:patternFill patternType="solid">
        <x:fgColor rgb="FF1261A0"/>
      </x:patternFill>
    </x:fill>
    <x:fill>
      <x:patternFill patternType="solid">
        <x:fgColor rgb="FFF3F6F8"/>
      </x:patternFill>
    </x:fill>
    <x:fill>
      <x:patternFill patternType="solid">
        <x:fgColor rgb="FFDCEBFA"/>
      </x:patternFill>
    </x:fill>
    <x:fill>
      <x:patternFill patternType="solid">
        <x:fgColor rgb="FFFFFFFF"/>
      </x:patternFill>
    </x:fill>
    <x:fill>
      <x:patternFill patternType="solid">
        <x:fgColor rgb="FFFDECEC"/>
      </x:patternFill>
    </x:fill>
    <x:fill>
      <x:patternFill patternType="solid">
        <x:fgColor rgb="FFFFF4E5"/>
      </x:patternFill>
    </x:fill>
  </x:fills>
  <x:borders count="13">
    <x:border/>
    <x:border>
      <x:left style="thin">
        <x:color rgb="FFD8E2EA"/>
      </x:left>
      <x:top style="thin">
        <x:color rgb="FFD8E2EA"/>
      </x:top>
    </x:border>
    <x:border>
      <x:right style="thin">
        <x:color rgb="FFD8E2EA"/>
      </x:right>
      <x:top style="thin">
        <x:color rgb="FFD8E2EA"/>
      </x:top>
    </x:border>
    <x:border>
      <x:left style="thin">
        <x:color rgb="FFD8E2EA"/>
      </x:left>
    </x:border>
    <x:border>
      <x:right style="thin">
        <x:color rgb="FFD8E2EA"/>
      </x:right>
    </x:border>
    <x:border>
      <x:left style="thin">
        <x:color rgb="FFD8E2EA"/>
      </x:left>
      <x:bottom style="thin">
        <x:color rgb="FFD8E2EA"/>
      </x:bottom>
    </x:border>
    <x:border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0B1F33"/>
      </x:left>
      <x:top style="thin">
        <x:color rgb="FF0B1F33"/>
      </x:top>
      <x:bottom style="thin">
        <x:color rgb="FF0B1F33"/>
      </x:bottom>
    </x:border>
    <x:border>
      <x:top style="thin">
        <x:color rgb="FF0B1F33"/>
      </x:top>
      <x:bottom style="thin">
        <x:color rgb="FF0B1F33"/>
      </x:bottom>
    </x:border>
    <x:border>
      <x:right style="thin">
        <x:color rgb="FF0B1F33"/>
      </x:right>
      <x:top style="thin">
        <x:color rgb="FF0B1F33"/>
      </x:top>
      <x:bottom style="thin">
        <x:color rgb="FF0B1F33"/>
      </x:bottom>
    </x:border>
    <x:border>
      <x:bottom style="thin">
        <x:color rgb="FFD8E2EA"/>
      </x:bottom>
    </x:border>
    <x:border>
      <x:top style="thin">
        <x:color rgb="FFD8E2EA"/>
      </x:top>
      <x:bottom style="thin">
        <x:color rgb="FFD8E2EA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7" xfId="0" applyNumberFormat="1" applyFont="1" applyFill="1" applyBorder="1"/>
    <x:xf numFmtId="0" fontId="9" fillId="7" borderId="7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8" borderId="7" xfId="0" applyNumberFormat="1" applyFont="1" applyFill="1" applyBorder="1" applyAlignment="1">
      <x:alignment vertical="center" wrapText="1"/>
    </x:xf>
    <x:xf numFmtId="0" fontId="9" fillId="9" borderId="7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/>
    <x:xf numFmtId="0" fontId="12" fillId="4" borderId="8" xfId="0" applyNumberFormat="1" applyFont="1" applyFill="1" applyBorder="1"/>
    <x:xf numFmtId="0" fontId="12" fillId="4" borderId="9" xfId="0" applyNumberFormat="1" applyFont="1" applyFill="1" applyBorder="1"/>
    <x:xf numFmtId="0" fontId="12" fillId="4" borderId="10" xfId="0" applyNumberFormat="1" applyFont="1" applyFill="1" applyBorder="1"/>
    <x:xf numFmtId="0" fontId="12" fillId="4" borderId="8" xfId="0" applyNumberFormat="1" applyFont="1" applyFill="1" applyBorder="1" applyAlignment="1">
      <x:alignment wrapText="1"/>
    </x:xf>
    <x:xf numFmtId="0" fontId="12" fillId="4" borderId="9" xfId="0" applyNumberFormat="1" applyFont="1" applyFill="1" applyBorder="1" applyAlignment="1">
      <x:alignment wrapText="1"/>
    </x:xf>
    <x:xf numFmtId="0" fontId="12" fillId="4" borderId="10" xfId="0" applyNumberFormat="1" applyFont="1" applyFill="1" applyBorder="1" applyAlignment="1">
      <x:alignment wrapText="1"/>
    </x:xf>
    <x:xf numFmtId="0" fontId="12" fillId="4" borderId="8" xfId="0" applyNumberFormat="1" applyFont="1" applyFill="1" applyBorder="1" applyAlignment="1">
      <x:alignment vertical="center" wrapText="1"/>
    </x:xf>
    <x:xf numFmtId="0" fontId="12" fillId="4" borderId="9" xfId="0" applyNumberFormat="1" applyFont="1" applyFill="1" applyBorder="1" applyAlignment="1">
      <x:alignment vertical="center" wrapText="1"/>
    </x:xf>
    <x:xf numFmtId="0" fontId="12" fillId="4" borderId="1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vertical="center" wrapText="1"/>
    </x:xf>
    <x:xf numFmtId="0" fontId="9" fillId="0" borderId="12" xfId="0" applyNumberFormat="1" applyFont="1" applyFill="1" applyBorder="1" applyAlignment="1">
      <x:alignment vertical="center" wrapText="1"/>
    </x:xf>
    <x:xf numFmtId="200" fontId="9" fillId="0" borderId="11" xfId="0" applyNumberFormat="1" applyFont="1" applyFill="1" applyBorder="1" applyAlignment="1">
      <x:alignment vertical="center" wrapText="1"/>
    </x:xf>
    <x:xf numFmtId="200" fontId="9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C43D3D"/>
      </x:font>
      <x:fill>
        <x:patternFill patternType="solid">
          <x:bgColor rgb="FFF7D7DA"/>
        </x:patternFill>
      </x:fill>
    </x:dxf>
    <x:dxf>
      <x:font>
        <x:b/>
        <x:color rgb="FF795000"/>
      </x:font>
      <x:fill>
        <x:patternFill patternType="solid">
          <x:bgColor rgb="FFFFF0CC"/>
        </x:patternFill>
      </x:fill>
    </x:dxf>
    <x:dxf>
      <x:font>
        <x:b/>
        <x:color rgb="FF146049"/>
      </x:font>
      <x:fill>
        <x:patternFill patternType="solid">
          <x:bgColor rgb="FFDFF3EA"/>
        </x:patternFill>
      </x:fill>
    </x:dxf>
    <x:dxf>
      <x:font>
        <x:b/>
        <x:color rgb="FFC43D3D"/>
      </x:font>
      <x:fill>
        <x:patternFill patternType="solid">
          <x:bgColor rgb="FFF7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7aeebcb1545bf" /><Relationship Type="http://schemas.openxmlformats.org/officeDocument/2006/relationships/theme" Target="/xl/theme/theme1.xml" Id="Ra8807437d7bb4060" /><Relationship Type="http://schemas.openxmlformats.org/officeDocument/2006/relationships/sharedStrings" Target="/xl/sharedStrings.xml" Id="R3d5ee42eed3442b1" /><Relationship Type="http://schemas.openxmlformats.org/officeDocument/2006/relationships/worksheet" Target="/xl/worksheets/sheet1.xml" Id="R183c93b180c64ffe" /><Relationship Type="http://schemas.openxmlformats.org/officeDocument/2006/relationships/worksheet" Target="/xl/worksheets/sheet2.xml" Id="Rd1f836ca7cc246dd" /><Relationship Type="http://schemas.openxmlformats.org/officeDocument/2006/relationships/worksheet" Target="/xl/worksheets/sheet3.xml" Id="Ra71422cbcdc94063" /><Relationship Type="http://schemas.openxmlformats.org/officeDocument/2006/relationships/worksheet" Target="/xl/worksheets/sheet4.xml" Id="R6e3404b9584645e2" /><Relationship Type="http://schemas.openxmlformats.org/officeDocument/2006/relationships/worksheet" Target="/xl/worksheets/sheet5.xml" Id="R736d3d98b2ec4c91" /><Relationship Type="http://schemas.openxmlformats.org/officeDocument/2006/relationships/worksheet" Target="/xl/worksheets/sheet6.xml" Id="Rb9a38f9d1502403c" /><Relationship Type="http://schemas.microsoft.com/office/2017/10/relationships/person" Target="/xl/persons/person.xml" Id="R07af78b0f8494777" /></Relationships>
</file>

<file path=xl/persons/person.xml><?xml version="1.0" encoding="utf-8"?>
<xltc:personList xmlns:xltc="http://schemas.microsoft.com/office/spreadsheetml/2018/threadedcomments">
  <xltc:person displayName="Simon Kamua" id="{680C4340-EDA0-4D77-BE55-046B19A8BFB6}"/>
</xltc:personList>
</file>

<file path=xl/tables/table1.xml><?xml version="1.0" encoding="utf-8"?>
<x:table xmlns:x="http://schemas.openxmlformats.org/spreadsheetml/2006/main" id="1" name="IOListTable" displayName="IOListTable" ref="A4:G28" headerRowCount="1" totalsRowCount="0" totalsRowShown="0">
  <x:tableColumns count="7">
    <x:tableColumn id="1" name="Tag"/>
    <x:tableColumn id="2" name="I/O Type"/>
    <x:tableColumn id="3" name="Signal"/>
    <x:tableColumn id="4" name="Description"/>
    <x:tableColumn id="5" name="Range/State"/>
    <x:tableColumn id="6" name="Fail State"/>
    <x:tableColumn id="7" name="Controller/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useEffectTable" displayName="CauseEffectTable" ref="A4:G8" headerRowCount="1" totalsRowCount="0" totalsRowShown="0">
  <x:tableColumns count="7">
    <x:tableColumn id="1" name="Cause"/>
    <x:tableColumn id="2" name="Vote"/>
    <x:tableColumn id="3" name="LCV-101"/>
    <x:tableColumn id="4" name="P-101A"/>
    <x:tableColumn id="5" name="P-101B"/>
    <x:tableColumn id="6" name="Alarm"/>
    <x:tableColumn id="7" name="Res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armRegisterTable" displayName="AlarmRegisterTable" ref="A4:F18" headerRowCount="1" totalsRowCount="0" totalsRowShown="0">
  <x:tableColumns count="6">
    <x:tableColumn id="1" name="ID"/>
    <x:tableColumn id="2" name="Initiating Condition"/>
    <x:tableColumn id="3" name="Priority"/>
    <x:tableColumn id="4" name="Delay"/>
    <x:tableColumn id="5" name="Automatic/Operator Action"/>
    <x:tableColumn id="6" name="Reset/Clea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nctionalTestTable" displayName="FunctionalTestTable" ref="A4:F16" headerRowCount="1" totalsRowCount="0" totalsRowShown="0">
  <x:tableColumns count="6">
    <x:tableColumn id="1" name="Test ID"/>
    <x:tableColumn id="2" name="Scenario"/>
    <x:tableColumn id="3" name="Preconditions"/>
    <x:tableColumn id="4" name="Expected Result"/>
    <x:tableColumn id="5" name="Result"/>
    <x:tableColumn id="6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tpointRegisterTable" displayName="SetpointRegisterTable" ref="A4:D12" headerRowCount="1" totalsRowCount="0" totalsRowShown="0">
  <x:tableColumns count="4">
    <x:tableColumn id="1" name="Parameter"/>
    <x:tableColumn id="2" name="Value"/>
    <x:tableColumn id="3" name="Units"/>
    <x:tableColumn id="4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8-02T12:12:50.524" personId="{680C4340-EDA0-4D77-BE55-046B19A8BFB6}" id="{8EAC4324-A57B-298A-8491-35F25DBE054A}">
    <xltc:text>This workbook is an educational portfolio artifact. The protection demonstrator is not certified for safety service.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d76ecc9edf2455f" /><Relationship Type="http://schemas.openxmlformats.org/officeDocument/2006/relationships/vmlDrawing" Target="/xl/drawings/vmldrawing.vml" Id="R5d97680c83044efc" /><Relationship Type="http://schemas.microsoft.com/office/2017/10/relationships/threadedComment" Target="/xl/threadedcomments/threadedcomment.xml" Id="Rec913ce593f440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af6ed3c83043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d3f7d47f4348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c6e4cac7c046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0c72425b1d4e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d1834d1c2c46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3" hidden="0" customWidth="1"/>
  </x:cols>
  <x:sheetData>
    <x:row r="1" ht="38" customHeight="1">
      <x:c r="A1" s="3" t="str">
        <x:v>Water-Tank PCS and SIS Control System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Editable engineering registers - educational simulation</x:v>
      </x:c>
      <x:c r="B2" s="5"/>
      <x:c r="C2" s="5"/>
      <x:c r="D2" s="5"/>
      <x:c r="E2" s="5"/>
      <x:c r="F2" s="5"/>
      <x:c r="G2" s="5"/>
      <x:c r="H2" s="5"/>
    </x:row>
    <x:row r="4" ht="28" customHeight="1">
      <x:c r="A4" s="13" t="str">
        <x:v>Prepared by</x:v>
      </x:c>
      <x:c r="B4" s="14" t="str">
        <x:v>Simon Kamua</x:v>
      </x:c>
    </x:row>
    <x:row r="5" ht="28" customHeight="1">
      <x:c r="A5" s="15" t="str">
        <x:v>Issue date</x:v>
      </x:c>
      <x:c r="B5" s="16" t="str">
        <x:v>2026-08-02</x:v>
      </x:c>
    </x:row>
    <x:row r="6" ht="28" customHeight="1">
      <x:c r="A6" s="15" t="str">
        <x:v>Status</x:v>
      </x:c>
      <x:c r="B6" s="16" t="str">
        <x:v>Simulation Complete - Hardware Validation Pending</x:v>
      </x:c>
    </x:row>
    <x:row r="7" ht="28" customHeight="1">
      <x:c r="A7" s="17" t="str">
        <x:v>Safety boundary</x:v>
      </x:c>
      <x:c r="B7" s="18" t="str">
        <x:v>ESP32-S3 demonstrator is not a certified safety PLC</x:v>
      </x:c>
    </x:row>
    <x:row r="10" ht="24" customHeight="1">
      <x:c r="A10" s="31" t="str">
        <x:v>I/O signals</x:v>
      </x:c>
      <x:c r="B10" s="32"/>
      <x:c r="C10" s="31" t="str">
        <x:v>Protection causes</x:v>
      </x:c>
      <x:c r="D10" s="32"/>
      <x:c r="E10" s="31" t="str">
        <x:v>Alarms / faults</x:v>
      </x:c>
      <x:c r="F10" s="32"/>
      <x:c r="G10" s="31" t="str">
        <x:v>Functional tests</x:v>
      </x:c>
      <x:c r="H10" s="32"/>
    </x:row>
    <x:row r="11" ht="34" customHeight="1">
      <x:c r="A11" s="33" t="n">
        <x:f>COUNTA('I O List'!A5:A100)</x:f>
        <x:v>24</x:v>
      </x:c>
      <x:c r="B11" s="34"/>
      <x:c r="C11" s="33" t="n">
        <x:f>COUNTA('Cause and Effect'!A5:A100)</x:f>
        <x:v>4</x:v>
      </x:c>
      <x:c r="D11" s="34"/>
      <x:c r="E11" s="33" t="n">
        <x:f>COUNTA('Alarm Register'!A5:A100)</x:f>
        <x:v>14</x:v>
      </x:c>
      <x:c r="F11" s="34"/>
      <x:c r="G11" s="33" t="n">
        <x:f>COUNTA('Functional Tests'!A5:A100)</x:f>
        <x:v>12</x:v>
      </x:c>
      <x:c r="H11" s="34"/>
    </x:row>
    <x:row r="14" ht="27" customHeight="1">
      <x:c r="A14" s="35" t="str">
        <x:v>Protective action summary</x:v>
      </x:c>
      <x:c r="B14" s="35"/>
      <x:c r="C14" s="35"/>
      <x:c r="D14" s="35"/>
      <x:c r="E14" s="35"/>
      <x:c r="F14" s="35"/>
      <x:c r="G14" s="35"/>
      <x:c r="H14" s="35"/>
    </x:row>
    <x:row r="15" ht="32" customHeight="1">
      <x:c r="A15" s="38" t="str">
        <x:v>Cause</x:v>
      </x:c>
      <x:c r="B15" s="38" t="str">
        <x:v>Vote</x:v>
      </x:c>
      <x:c r="C15" s="38" t="str">
        <x:v>Inlet valve</x:v>
      </x:c>
      <x:c r="D15" s="38" t="str">
        <x:v>Pump A</x:v>
      </x:c>
      <x:c r="E15" s="38" t="str">
        <x:v>Pump B</x:v>
      </x:c>
      <x:c r="F15" s="38" t="str">
        <x:v>Reset threshold</x:v>
      </x:c>
      <x:c r="G15" s="38" t="str">
        <x:v>Status</x:v>
      </x:c>
      <x:c r="H15" s="38" t="str">
        <x:v>Boundary</x:v>
      </x:c>
    </x:row>
    <x:row r="16" ht="42" customHeight="1">
      <x:c r="A16" s="44" t="str">
        <x:v>High-high level</x:v>
      </x:c>
      <x:c r="B16" s="44" t="str">
        <x:v>2oo3 &gt;= 90%</x:v>
      </x:c>
      <x:c r="C16" s="44" t="str">
        <x:v>Close and inhibit</x:v>
      </x:c>
      <x:c r="D16" s="44" t="str">
        <x:v>Remain available</x:v>
      </x:c>
      <x:c r="E16" s="44" t="str">
        <x:v>Remain available</x:v>
      </x:c>
      <x:c r="F16" s="44" t="str">
        <x:v>All valid &lt; 85%</x:v>
      </x:c>
      <x:c r="G16" s="44" t="str">
        <x:v>Latched</x:v>
      </x:c>
      <x:c r="H16" s="44" t="str">
        <x:v>Protect tank from inflow</x:v>
      </x:c>
    </x:row>
    <x:row r="17" ht="42" customHeight="1">
      <x:c r="A17" s="45" t="str">
        <x:v>Low-low level</x:v>
      </x:c>
      <x:c r="B17" s="45" t="str">
        <x:v>2oo3 &lt;= 15%</x:v>
      </x:c>
      <x:c r="C17" s="45" t="str">
        <x:v>No direct action</x:v>
      </x:c>
      <x:c r="D17" s="45" t="str">
        <x:v>Trip and inhibit</x:v>
      </x:c>
      <x:c r="E17" s="45" t="str">
        <x:v>Trip and inhibit</x:v>
      </x:c>
      <x:c r="F17" s="45" t="str">
        <x:v>All valid &gt; 20%</x:v>
      </x:c>
      <x:c r="G17" s="45" t="str">
        <x:v>Latched</x:v>
      </x:c>
      <x:c r="H17" s="45" t="str">
        <x:v>Prevent pump dry running</x:v>
      </x:c>
    </x:row>
  </x:sheetData>
  <x:mergeCells>
    <x:mergeCell ref="A1:H1"/>
    <x:mergeCell ref="A2:H2"/>
    <x:mergeCell ref="A10:B10"/>
    <x:mergeCell ref="C10:D10"/>
    <x:mergeCell ref="E10:F10"/>
    <x:mergeCell ref="G10:H10"/>
    <x:mergeCell ref="A11:B11"/>
    <x:mergeCell ref="C11:D11"/>
    <x:mergeCell ref="E11:F11"/>
    <x:mergeCell ref="G11:H11"/>
    <x:mergeCell ref="A14:H14"/>
  </x:mergeCells>
  <x:pageMargins left="0.7" right="0.7" top="0.75" bottom="0.75" header="0.3" footer="0.3"/>
  <x:legacyDrawing xmlns:r="http://schemas.openxmlformats.org/officeDocument/2006/relationships" r:id="R5d97680c83044ef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30" hidden="0" customWidth="1"/>
    <x:col min="5" max="5" width="17" hidden="0" customWidth="1"/>
    <x:col min="6" max="6" width="18" hidden="0" customWidth="1"/>
    <x:col min="7" max="7" width="20" hidden="0" customWidth="1"/>
  </x:cols>
  <x:sheetData>
    <x:row r="1" ht="32" customHeight="1">
      <x:c r="A1" s="47" t="str">
        <x:v>Conceptual I/O List</x:v>
      </x:c>
      <x:c r="B1" s="47"/>
      <x:c r="C1" s="47"/>
      <x:c r="D1" s="47"/>
      <x:c r="E1" s="47"/>
      <x:c r="F1" s="47"/>
      <x:c r="G1" s="47"/>
    </x:row>
    <x:row r="2" ht="24" customHeight="1">
      <x:c r="A2" s="49" t="str">
        <x:v>Actual channel addresses and marshalling remain hardware-project deliverables.</x:v>
      </x:c>
      <x:c r="B2" s="49"/>
      <x:c r="C2" s="49"/>
      <x:c r="D2" s="49"/>
      <x:c r="E2" s="49"/>
      <x:c r="F2" s="49"/>
      <x:c r="G2" s="49"/>
    </x:row>
    <x:row r="4" ht="34" customHeight="1">
      <x:c r="A4" s="57" t="str">
        <x:v>Tag</x:v>
      </x:c>
      <x:c r="B4" s="58" t="str">
        <x:v>I/O Type</x:v>
      </x:c>
      <x:c r="C4" s="58" t="str">
        <x:v>Signal</x:v>
      </x:c>
      <x:c r="D4" s="58" t="str">
        <x:v>Description</x:v>
      </x:c>
      <x:c r="E4" s="58" t="str">
        <x:v>Range/State</x:v>
      </x:c>
      <x:c r="F4" s="58" t="str">
        <x:v>Fail State</x:v>
      </x:c>
      <x:c r="G4" s="59" t="str">
        <x:v>Controller/Owner</x:v>
      </x:c>
    </x:row>
    <x:row r="5" ht="34" customHeight="1">
      <x:c r="A5" s="65" t="str">
        <x:v>LT-101</x:v>
      </x:c>
      <x:c r="B5" s="65" t="str">
        <x:v>AI</x:v>
      </x:c>
      <x:c r="C5" s="65" t="str">
        <x:v>4-20 mA</x:v>
      </x:c>
      <x:c r="D5" s="65" t="str">
        <x:v>PCS tank level</x:v>
      </x:c>
      <x:c r="E5" s="65" t="str">
        <x:v>0-100%</x:v>
      </x:c>
      <x:c r="F5" s="65" t="str">
        <x:v>Upscale / bad quality</x:v>
      </x:c>
      <x:c r="G5" s="65" t="str">
        <x:v>PCS</x:v>
      </x:c>
    </x:row>
    <x:row r="6" ht="34" customHeight="1">
      <x:c r="A6" s="66" t="str">
        <x:v>LT-201A</x:v>
      </x:c>
      <x:c r="B6" s="66" t="str">
        <x:v>AI</x:v>
      </x:c>
      <x:c r="C6" s="66" t="str">
        <x:v>4-20 mA</x:v>
      </x:c>
      <x:c r="D6" s="66" t="str">
        <x:v>Protection level channel A</x:v>
      </x:c>
      <x:c r="E6" s="66" t="str">
        <x:v>0-100%</x:v>
      </x:c>
      <x:c r="F6" s="66" t="str">
        <x:v>Invalid channel</x:v>
      </x:c>
      <x:c r="G6" s="66" t="str">
        <x:v>Protection demo</x:v>
      </x:c>
    </x:row>
    <x:row r="7" ht="34" customHeight="1">
      <x:c r="A7" s="66" t="str">
        <x:v>LT-201B</x:v>
      </x:c>
      <x:c r="B7" s="66" t="str">
        <x:v>AI</x:v>
      </x:c>
      <x:c r="C7" s="66" t="str">
        <x:v>4-20 mA</x:v>
      </x:c>
      <x:c r="D7" s="66" t="str">
        <x:v>Protection level channel B</x:v>
      </x:c>
      <x:c r="E7" s="66" t="str">
        <x:v>0-100%</x:v>
      </x:c>
      <x:c r="F7" s="66" t="str">
        <x:v>Invalid channel</x:v>
      </x:c>
      <x:c r="G7" s="66" t="str">
        <x:v>Protection demo</x:v>
      </x:c>
    </x:row>
    <x:row r="8" ht="34" customHeight="1">
      <x:c r="A8" s="66" t="str">
        <x:v>LT-201C</x:v>
      </x:c>
      <x:c r="B8" s="66" t="str">
        <x:v>AI</x:v>
      </x:c>
      <x:c r="C8" s="66" t="str">
        <x:v>4-20 mA</x:v>
      </x:c>
      <x:c r="D8" s="66" t="str">
        <x:v>Protection level channel C</x:v>
      </x:c>
      <x:c r="E8" s="66" t="str">
        <x:v>0-100%</x:v>
      </x:c>
      <x:c r="F8" s="66" t="str">
        <x:v>Invalid channel</x:v>
      </x:c>
      <x:c r="G8" s="66" t="str">
        <x:v>Protection demo</x:v>
      </x:c>
    </x:row>
    <x:row r="9" ht="34" customHeight="1">
      <x:c r="A9" s="66" t="str">
        <x:v>FIT-101</x:v>
      </x:c>
      <x:c r="B9" s="66" t="str">
        <x:v>AI</x:v>
      </x:c>
      <x:c r="C9" s="66" t="str">
        <x:v>4-20 mA</x:v>
      </x:c>
      <x:c r="D9" s="66" t="str">
        <x:v>Common pump-discharge flow</x:v>
      </x:c>
      <x:c r="E9" s="66" t="str">
        <x:v>0-150 m3/h</x:v>
      </x:c>
      <x:c r="F9" s="66" t="str">
        <x:v>Bad quality</x:v>
      </x:c>
      <x:c r="G9" s="66" t="str">
        <x:v>PCS</x:v>
      </x:c>
    </x:row>
    <x:row r="10" ht="34" customHeight="1">
      <x:c r="A10" s="66" t="str">
        <x:v>PIT-101</x:v>
      </x:c>
      <x:c r="B10" s="66" t="str">
        <x:v>AI</x:v>
      </x:c>
      <x:c r="C10" s="66" t="str">
        <x:v>4-20 mA</x:v>
      </x:c>
      <x:c r="D10" s="66" t="str">
        <x:v>Common pump-discharge pressure</x:v>
      </x:c>
      <x:c r="E10" s="66" t="str">
        <x:v>0-10 bar</x:v>
      </x:c>
      <x:c r="F10" s="66" t="str">
        <x:v>Bad quality</x:v>
      </x:c>
      <x:c r="G10" s="66" t="str">
        <x:v>PCS</x:v>
      </x:c>
    </x:row>
    <x:row r="11" ht="34" customHeight="1">
      <x:c r="A11" s="66" t="str">
        <x:v>LCV-101.POS</x:v>
      </x:c>
      <x:c r="B11" s="66" t="str">
        <x:v>AI</x:v>
      </x:c>
      <x:c r="C11" s="66" t="str">
        <x:v>4-20 mA</x:v>
      </x:c>
      <x:c r="D11" s="66" t="str">
        <x:v>Inlet-valve position feedback</x:v>
      </x:c>
      <x:c r="E11" s="66" t="str">
        <x:v>0-100%</x:v>
      </x:c>
      <x:c r="F11" s="66" t="str">
        <x:v>Bad quality</x:v>
      </x:c>
      <x:c r="G11" s="66" t="str">
        <x:v>PCS</x:v>
      </x:c>
    </x:row>
    <x:row r="12" ht="34" customHeight="1">
      <x:c r="A12" s="66" t="str">
        <x:v>LCV-101.CMD</x:v>
      </x:c>
      <x:c r="B12" s="66" t="str">
        <x:v>AO</x:v>
      </x:c>
      <x:c r="C12" s="66" t="str">
        <x:v>4-20 mA</x:v>
      </x:c>
      <x:c r="D12" s="66" t="str">
        <x:v>Inlet-valve position demand</x:v>
      </x:c>
      <x:c r="E12" s="66" t="str">
        <x:v>0-100%</x:v>
      </x:c>
      <x:c r="F12" s="66" t="str">
        <x:v>0% / closed</x:v>
      </x:c>
      <x:c r="G12" s="66" t="str">
        <x:v>PCS + HH override</x:v>
      </x:c>
    </x:row>
    <x:row r="13" ht="34" customHeight="1">
      <x:c r="A13" s="66" t="str">
        <x:v>P-101A.SPD</x:v>
      </x:c>
      <x:c r="B13" s="66" t="str">
        <x:v>AO/Net</x:v>
      </x:c>
      <x:c r="C13" s="66" t="str">
        <x:v>0-100%</x:v>
      </x:c>
      <x:c r="D13" s="66" t="str">
        <x:v>Pump A speed reference</x:v>
      </x:c>
      <x:c r="E13" s="66" t="str">
        <x:v>0-100%</x:v>
      </x:c>
      <x:c r="F13" s="66" t="str">
        <x:v>0%</x:v>
      </x:c>
      <x:c r="G13" s="66" t="str">
        <x:v>PCS</x:v>
      </x:c>
    </x:row>
    <x:row r="14" ht="34" customHeight="1">
      <x:c r="A14" s="66" t="str">
        <x:v>P-101B.SPD</x:v>
      </x:c>
      <x:c r="B14" s="66" t="str">
        <x:v>AO/Net</x:v>
      </x:c>
      <x:c r="C14" s="66" t="str">
        <x:v>0-100%</x:v>
      </x:c>
      <x:c r="D14" s="66" t="str">
        <x:v>Pump B speed reference</x:v>
      </x:c>
      <x:c r="E14" s="66" t="str">
        <x:v>0-100%</x:v>
      </x:c>
      <x:c r="F14" s="66" t="str">
        <x:v>0%</x:v>
      </x:c>
      <x:c r="G14" s="66" t="str">
        <x:v>PCS</x:v>
      </x:c>
    </x:row>
    <x:row r="15" ht="34" customHeight="1">
      <x:c r="A15" s="66" t="str">
        <x:v>P-101A.RUN</x:v>
      </x:c>
      <x:c r="B15" s="66" t="str">
        <x:v>DI</x:v>
      </x:c>
      <x:c r="C15" s="66" t="str">
        <x:v>24 Vdc</x:v>
      </x:c>
      <x:c r="D15" s="66" t="str">
        <x:v>Pump A run feedback</x:v>
      </x:c>
      <x:c r="E15" s="66" t="str">
        <x:v>Run/Stop</x:v>
      </x:c>
      <x:c r="F15" s="66" t="str">
        <x:v>Stopped</x:v>
      </x:c>
      <x:c r="G15" s="66" t="str">
        <x:v>PCS</x:v>
      </x:c>
    </x:row>
    <x:row r="16" ht="34" customHeight="1">
      <x:c r="A16" s="66" t="str">
        <x:v>P-101B.RUN</x:v>
      </x:c>
      <x:c r="B16" s="66" t="str">
        <x:v>DI</x:v>
      </x:c>
      <x:c r="C16" s="66" t="str">
        <x:v>24 Vdc</x:v>
      </x:c>
      <x:c r="D16" s="66" t="str">
        <x:v>Pump B run feedback</x:v>
      </x:c>
      <x:c r="E16" s="66" t="str">
        <x:v>Run/Stop</x:v>
      </x:c>
      <x:c r="F16" s="66" t="str">
        <x:v>Stopped</x:v>
      </x:c>
      <x:c r="G16" s="66" t="str">
        <x:v>PCS</x:v>
      </x:c>
    </x:row>
    <x:row r="17" ht="34" customHeight="1">
      <x:c r="A17" s="66" t="str">
        <x:v>P-101A.READY</x:v>
      </x:c>
      <x:c r="B17" s="66" t="str">
        <x:v>DI/Net</x:v>
      </x:c>
      <x:c r="C17" s="66" t="str">
        <x:v>Boolean</x:v>
      </x:c>
      <x:c r="D17" s="66" t="str">
        <x:v>Pump A VFD ready</x:v>
      </x:c>
      <x:c r="E17" s="66" t="str">
        <x:v>Ready/Not ready</x:v>
      </x:c>
      <x:c r="F17" s="66" t="str">
        <x:v>Not ready</x:v>
      </x:c>
      <x:c r="G17" s="66" t="str">
        <x:v>PCS</x:v>
      </x:c>
    </x:row>
    <x:row r="18" ht="34" customHeight="1">
      <x:c r="A18" s="66" t="str">
        <x:v>P-101B.READY</x:v>
      </x:c>
      <x:c r="B18" s="66" t="str">
        <x:v>DI/Net</x:v>
      </x:c>
      <x:c r="C18" s="66" t="str">
        <x:v>Boolean</x:v>
      </x:c>
      <x:c r="D18" s="66" t="str">
        <x:v>Pump B VFD ready</x:v>
      </x:c>
      <x:c r="E18" s="66" t="str">
        <x:v>Ready/Not ready</x:v>
      </x:c>
      <x:c r="F18" s="66" t="str">
        <x:v>Not ready</x:v>
      </x:c>
      <x:c r="G18" s="66" t="str">
        <x:v>PCS</x:v>
      </x:c>
    </x:row>
    <x:row r="19" ht="34" customHeight="1">
      <x:c r="A19" s="66" t="str">
        <x:v>P-101A.FLT</x:v>
      </x:c>
      <x:c r="B19" s="66" t="str">
        <x:v>DI/Net</x:v>
      </x:c>
      <x:c r="C19" s="66" t="str">
        <x:v>Boolean</x:v>
      </x:c>
      <x:c r="D19" s="66" t="str">
        <x:v>Pump A VFD fault</x:v>
      </x:c>
      <x:c r="E19" s="66" t="str">
        <x:v>Healthy/Fault</x:v>
      </x:c>
      <x:c r="F19" s="66" t="str">
        <x:v>Fault</x:v>
      </x:c>
      <x:c r="G19" s="66" t="str">
        <x:v>PCS</x:v>
      </x:c>
    </x:row>
    <x:row r="20" ht="34" customHeight="1">
      <x:c r="A20" s="66" t="str">
        <x:v>P-101B.FLT</x:v>
      </x:c>
      <x:c r="B20" s="66" t="str">
        <x:v>DI/Net</x:v>
      </x:c>
      <x:c r="C20" s="66" t="str">
        <x:v>Boolean</x:v>
      </x:c>
      <x:c r="D20" s="66" t="str">
        <x:v>Pump B VFD fault</x:v>
      </x:c>
      <x:c r="E20" s="66" t="str">
        <x:v>Healthy/Fault</x:v>
      </x:c>
      <x:c r="F20" s="66" t="str">
        <x:v>Fault</x:v>
      </x:c>
      <x:c r="G20" s="66" t="str">
        <x:v>PCS</x:v>
      </x:c>
    </x:row>
    <x:row r="21" ht="34" customHeight="1">
      <x:c r="A21" s="66" t="str">
        <x:v>P-101A.REM</x:v>
      </x:c>
      <x:c r="B21" s="66" t="str">
        <x:v>DI</x:v>
      </x:c>
      <x:c r="C21" s="66" t="str">
        <x:v>24 Vdc</x:v>
      </x:c>
      <x:c r="D21" s="66" t="str">
        <x:v>Pump A remote mode</x:v>
      </x:c>
      <x:c r="E21" s="66" t="str">
        <x:v>Remote/Local</x:v>
      </x:c>
      <x:c r="F21" s="66" t="str">
        <x:v>Local</x:v>
      </x:c>
      <x:c r="G21" s="66" t="str">
        <x:v>PCS</x:v>
      </x:c>
    </x:row>
    <x:row r="22" ht="34" customHeight="1">
      <x:c r="A22" s="66" t="str">
        <x:v>P-101B.REM</x:v>
      </x:c>
      <x:c r="B22" s="66" t="str">
        <x:v>DI</x:v>
      </x:c>
      <x:c r="C22" s="66" t="str">
        <x:v>24 Vdc</x:v>
      </x:c>
      <x:c r="D22" s="66" t="str">
        <x:v>Pump B remote mode</x:v>
      </x:c>
      <x:c r="E22" s="66" t="str">
        <x:v>Remote/Local</x:v>
      </x:c>
      <x:c r="F22" s="66" t="str">
        <x:v>Local</x:v>
      </x:c>
      <x:c r="G22" s="66" t="str">
        <x:v>PCS</x:v>
      </x:c>
    </x:row>
    <x:row r="23" ht="34" customHeight="1">
      <x:c r="A23" s="66" t="str">
        <x:v>P-101A.START</x:v>
      </x:c>
      <x:c r="B23" s="66" t="str">
        <x:v>DO</x:v>
      </x:c>
      <x:c r="C23" s="66" t="str">
        <x:v>24 Vdc</x:v>
      </x:c>
      <x:c r="D23" s="66" t="str">
        <x:v>Pump A start/stop command</x:v>
      </x:c>
      <x:c r="E23" s="66" t="str">
        <x:v>Run/Stop</x:v>
      </x:c>
      <x:c r="F23" s="66" t="str">
        <x:v>Stop</x:v>
      </x:c>
      <x:c r="G23" s="66" t="str">
        <x:v>PCS + LL override</x:v>
      </x:c>
    </x:row>
    <x:row r="24" ht="34" customHeight="1">
      <x:c r="A24" s="66" t="str">
        <x:v>P-101B.START</x:v>
      </x:c>
      <x:c r="B24" s="66" t="str">
        <x:v>DO</x:v>
      </x:c>
      <x:c r="C24" s="66" t="str">
        <x:v>24 Vdc</x:v>
      </x:c>
      <x:c r="D24" s="66" t="str">
        <x:v>Pump B start/stop command</x:v>
      </x:c>
      <x:c r="E24" s="66" t="str">
        <x:v>Run/Stop</x:v>
      </x:c>
      <x:c r="F24" s="66" t="str">
        <x:v>Stop</x:v>
      </x:c>
      <x:c r="G24" s="66" t="str">
        <x:v>PCS + LL override</x:v>
      </x:c>
    </x:row>
    <x:row r="25" ht="34" customHeight="1">
      <x:c r="A25" s="66" t="str">
        <x:v>SIS.RESET</x:v>
      </x:c>
      <x:c r="B25" s="66" t="str">
        <x:v>DI</x:v>
      </x:c>
      <x:c r="C25" s="66" t="str">
        <x:v>Momentary</x:v>
      </x:c>
      <x:c r="D25" s="66" t="str">
        <x:v>Protection manual reset</x:v>
      </x:c>
      <x:c r="E25" s="66" t="str">
        <x:v>Pressed/Released</x:v>
      </x:c>
      <x:c r="F25" s="66" t="str">
        <x:v>Released</x:v>
      </x:c>
      <x:c r="G25" s="66" t="str">
        <x:v>Protection demo</x:v>
      </x:c>
    </x:row>
    <x:row r="26" ht="34" customHeight="1">
      <x:c r="A26" s="66" t="str">
        <x:v>SIS.INLET_PERMIT</x:v>
      </x:c>
      <x:c r="B26" s="66" t="str">
        <x:v>DO</x:v>
      </x:c>
      <x:c r="C26" s="66" t="str">
        <x:v>De-energize</x:v>
      </x:c>
      <x:c r="D26" s="66" t="str">
        <x:v>Permit LCV-101 to open</x:v>
      </x:c>
      <x:c r="E26" s="66" t="str">
        <x:v>Permit/Trip</x:v>
      </x:c>
      <x:c r="F26" s="66" t="str">
        <x:v>Trip / close</x:v>
      </x:c>
      <x:c r="G26" s="66" t="str">
        <x:v>Protection demo</x:v>
      </x:c>
    </x:row>
    <x:row r="27" ht="34" customHeight="1">
      <x:c r="A27" s="66" t="str">
        <x:v>SIS.PUMP_PERMIT</x:v>
      </x:c>
      <x:c r="B27" s="66" t="str">
        <x:v>DO</x:v>
      </x:c>
      <x:c r="C27" s="66" t="str">
        <x:v>De-energize</x:v>
      </x:c>
      <x:c r="D27" s="66" t="str">
        <x:v>Permit P-101A/B to run</x:v>
      </x:c>
      <x:c r="E27" s="66" t="str">
        <x:v>Permit/Trip</x:v>
      </x:c>
      <x:c r="F27" s="66" t="str">
        <x:v>Trip / stop</x:v>
      </x:c>
      <x:c r="G27" s="66" t="str">
        <x:v>Protection demo</x:v>
      </x:c>
    </x:row>
    <x:row r="28" ht="34" customHeight="1">
      <x:c r="A28" s="66" t="str">
        <x:v>SIS.STATUS</x:v>
      </x:c>
      <x:c r="B28" s="66" t="str">
        <x:v>DI/Net</x:v>
      </x:c>
      <x:c r="C28" s="66" t="str">
        <x:v>Boolean word</x:v>
      </x:c>
      <x:c r="D28" s="66" t="str">
        <x:v>Trip/degraded status to PCS</x:v>
      </x:c>
      <x:c r="E28" s="66" t="str">
        <x:v>Status bits</x:v>
      </x:c>
      <x:c r="F28" s="66" t="str">
        <x:v>Unhealthy</x:v>
      </x:c>
      <x:c r="G28" s="66" t="str">
        <x:v>Protection demo to PCS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2af6ed3c83043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2" hidden="0" customWidth="1"/>
    <x:col min="4" max="4" width="19" hidden="0" customWidth="1"/>
    <x:col min="5" max="5" width="19" hidden="0" customWidth="1"/>
    <x:col min="6" max="6" width="24" hidden="0" customWidth="1"/>
    <x:col min="7" max="7" width="27" hidden="0" customWidth="1"/>
  </x:cols>
  <x:sheetData>
    <x:row r="1" ht="32" customHeight="1">
      <x:c r="A1" s="47" t="str">
        <x:v>Protection Cause and Effect</x:v>
      </x:c>
      <x:c r="B1" s="47"/>
      <x:c r="C1" s="47"/>
      <x:c r="D1" s="47"/>
      <x:c r="E1" s="47"/>
      <x:c r="F1" s="47"/>
      <x:c r="G1" s="47"/>
    </x:row>
    <x:row r="2" ht="24" customHeight="1">
      <x:c r="A2" s="49" t="str">
        <x:v>High-high closes the inlet; low-low trips the discharge pumps.</x:v>
      </x:c>
      <x:c r="B2" s="49"/>
      <x:c r="C2" s="49"/>
      <x:c r="D2" s="49"/>
      <x:c r="E2" s="49"/>
      <x:c r="F2" s="49"/>
      <x:c r="G2" s="49"/>
    </x:row>
    <x:row r="4" ht="34" customHeight="1">
      <x:c r="A4" s="57" t="str">
        <x:v>Cause</x:v>
      </x:c>
      <x:c r="B4" s="58" t="str">
        <x:v>Vote</x:v>
      </x:c>
      <x:c r="C4" s="58" t="str">
        <x:v>LCV-101</x:v>
      </x:c>
      <x:c r="D4" s="58" t="str">
        <x:v>P-101A</x:v>
      </x:c>
      <x:c r="E4" s="58" t="str">
        <x:v>P-101B</x:v>
      </x:c>
      <x:c r="F4" s="58" t="str">
        <x:v>Alarm</x:v>
      </x:c>
      <x:c r="G4" s="59" t="str">
        <x:v>Reset</x:v>
      </x:c>
    </x:row>
    <x:row r="5" ht="44" customHeight="1">
      <x:c r="A5" s="65" t="str">
        <x:v>Tank level high-high</x:v>
      </x:c>
      <x:c r="B5" s="65" t="str">
        <x:v>2oo3 &gt;= 90%</x:v>
      </x:c>
      <x:c r="C5" s="65" t="str">
        <x:v>Close and inhibit</x:v>
      </x:c>
      <x:c r="D5" s="65" t="str">
        <x:v>No trip</x:v>
      </x:c>
      <x:c r="E5" s="65" t="str">
        <x:v>No trip</x:v>
      </x:c>
      <x:c r="F5" s="65" t="str">
        <x:v>HH inlet trip</x:v>
      </x:c>
      <x:c r="G5" s="65" t="str">
        <x:v>All valid &lt; 85% + manual</x:v>
      </x:c>
    </x:row>
    <x:row r="6" ht="44" customHeight="1">
      <x:c r="A6" s="66" t="str">
        <x:v>Tank level low-low</x:v>
      </x:c>
      <x:c r="B6" s="66" t="str">
        <x:v>2oo3 &lt;= 15%</x:v>
      </x:c>
      <x:c r="C6" s="66" t="str">
        <x:v>No direct action</x:v>
      </x:c>
      <x:c r="D6" s="66" t="str">
        <x:v>Trip and inhibit</x:v>
      </x:c>
      <x:c r="E6" s="66" t="str">
        <x:v>Trip and inhibit</x:v>
      </x:c>
      <x:c r="F6" s="66" t="str">
        <x:v>LL pump trip</x:v>
      </x:c>
      <x:c r="G6" s="66" t="str">
        <x:v>All valid &gt; 20% + manual</x:v>
      </x:c>
    </x:row>
    <x:row r="7" ht="44" customHeight="1">
      <x:c r="A7" s="66" t="str">
        <x:v>One channel invalid</x:v>
      </x:c>
      <x:c r="B7" s="66" t="str">
        <x:v>Diagnostic</x:v>
      </x:c>
      <x:c r="C7" s="66" t="str">
        <x:v>No automatic action</x:v>
      </x:c>
      <x:c r="D7" s="66" t="str">
        <x:v>No automatic action</x:v>
      </x:c>
      <x:c r="E7" s="66" t="str">
        <x:v>No automatic action</x:v>
      </x:c>
      <x:c r="F7" s="66" t="str">
        <x:v>Protection degraded</x:v>
      </x:c>
      <x:c r="G7" s="66" t="str">
        <x:v>All valid before reset</x:v>
      </x:c>
    </x:row>
    <x:row r="8" ht="44" customHeight="1">
      <x:c r="A8" s="66" t="str">
        <x:v>Protection power loss</x:v>
      </x:c>
      <x:c r="B8" s="66" t="str">
        <x:v>De-energize</x:v>
      </x:c>
      <x:c r="C8" s="66" t="str">
        <x:v>Close</x:v>
      </x:c>
      <x:c r="D8" s="66" t="str">
        <x:v>Trip</x:v>
      </x:c>
      <x:c r="E8" s="66" t="str">
        <x:v>Trip</x:v>
      </x:c>
      <x:c r="F8" s="66" t="str">
        <x:v>Protection unhealthy</x:v>
      </x:c>
      <x:c r="G8" s="66" t="str">
        <x:v>Power healthy + manual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3d3f7d47f4348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1" hidden="0" customWidth="1"/>
    <x:col min="4" max="4" width="10" hidden="0" customWidth="1"/>
    <x:col min="5" max="5" width="43" hidden="0" customWidth="1"/>
    <x:col min="6" max="6" width="24" hidden="0" customWidth="1"/>
  </x:cols>
  <x:sheetData>
    <x:row r="1" ht="32" customHeight="1">
      <x:c r="A1" s="47" t="str">
        <x:v>Alarm, Fault and Interlock Register</x:v>
      </x:c>
      <x:c r="B1" s="47"/>
      <x:c r="C1" s="47"/>
      <x:c r="D1" s="47"/>
      <x:c r="E1" s="47"/>
      <x:c r="F1" s="47"/>
    </x:row>
    <x:row r="2" ht="24" customHeight="1">
      <x:c r="A2" s="49" t="str">
        <x:v>Priorities and delays are illustrative and require project alarm rationalization.</x:v>
      </x:c>
      <x:c r="B2" s="49"/>
      <x:c r="C2" s="49"/>
      <x:c r="D2" s="49"/>
      <x:c r="E2" s="49"/>
      <x:c r="F2" s="49"/>
    </x:row>
    <x:row r="4" ht="34" customHeight="1">
      <x:c r="A4" s="57" t="str">
        <x:v>ID</x:v>
      </x:c>
      <x:c r="B4" s="58" t="str">
        <x:v>Initiating Condition</x:v>
      </x:c>
      <x:c r="C4" s="58" t="str">
        <x:v>Priority</x:v>
      </x:c>
      <x:c r="D4" s="58" t="str">
        <x:v>Delay</x:v>
      </x:c>
      <x:c r="E4" s="58" t="str">
        <x:v>Automatic/Operator Action</x:v>
      </x:c>
      <x:c r="F4" s="59" t="str">
        <x:v>Reset/Clear</x:v>
      </x:c>
    </x:row>
    <x:row r="5" ht="34" customHeight="1">
      <x:c r="A5" s="65" t="str">
        <x:v>A-001</x:v>
      </x:c>
      <x:c r="B5" s="65" t="str">
        <x:v>LT-101 &gt;= 80%</x:v>
      </x:c>
      <x:c r="C5" s="65" t="str">
        <x:v>High</x:v>
      </x:c>
      <x:c r="D5" s="65" t="str">
        <x:v>2 s</x:v>
      </x:c>
      <x:c r="E5" s="65" t="str">
        <x:v>Warn operator; controller increases inventory reduction</x:v>
      </x:c>
      <x:c r="F5" s="65" t="str">
        <x:v>Auto clear</x:v>
      </x:c>
    </x:row>
    <x:row r="6" ht="34" customHeight="1">
      <x:c r="A6" s="66" t="str">
        <x:v>A-002</x:v>
      </x:c>
      <x:c r="B6" s="66" t="str">
        <x:v>LT-101 &lt;= 25%</x:v>
      </x:c>
      <x:c r="C6" s="66" t="str">
        <x:v>High</x:v>
      </x:c>
      <x:c r="D6" s="66" t="str">
        <x:v>2 s</x:v>
      </x:c>
      <x:c r="E6" s="66" t="str">
        <x:v>Warn operator; controller reduces discharge demand</x:v>
      </x:c>
      <x:c r="F6" s="66" t="str">
        <x:v>Auto clear</x:v>
      </x:c>
    </x:row>
    <x:row r="7" ht="34" customHeight="1">
      <x:c r="A7" s="66" t="str">
        <x:v>A-003</x:v>
      </x:c>
      <x:c r="B7" s="66" t="str">
        <x:v>LT-101 bad or out of range</x:v>
      </x:c>
      <x:c r="C7" s="66" t="str">
        <x:v>High</x:v>
      </x:c>
      <x:c r="D7" s="66" t="str">
        <x:v>1 s</x:v>
      </x:c>
      <x:c r="E7" s="66" t="str">
        <x:v>Close inlet; block new auto start; hold running pump at safe tracked bias</x:v>
      </x:c>
      <x:c r="F7" s="66" t="str">
        <x:v>Manual confirm</x:v>
      </x:c>
    </x:row>
    <x:row r="8" ht="34" customHeight="1">
      <x:c r="A8" s="66" t="str">
        <x:v>A-004</x:v>
      </x:c>
      <x:c r="B8" s="66" t="str">
        <x:v>Any two LT-201 channels &gt;= 90%</x:v>
      </x:c>
      <x:c r="C8" s="66" t="str">
        <x:v>Trip</x:v>
      </x:c>
      <x:c r="D8" s="66" t="str">
        <x:v>0.5 s</x:v>
      </x:c>
      <x:c r="E8" s="66" t="str">
        <x:v>Close and inhibit LCV-101; keep eligible discharge pump available</x:v>
      </x:c>
      <x:c r="F8" s="66" t="str">
        <x:v>Manual below 85%</x:v>
      </x:c>
    </x:row>
    <x:row r="9" ht="34" customHeight="1">
      <x:c r="A9" s="66" t="str">
        <x:v>A-005</x:v>
      </x:c>
      <x:c r="B9" s="66" t="str">
        <x:v>Any two LT-201 channels &lt;= 15%</x:v>
      </x:c>
      <x:c r="C9" s="66" t="str">
        <x:v>Trip</x:v>
      </x:c>
      <x:c r="D9" s="66" t="str">
        <x:v>0.5 s</x:v>
      </x:c>
      <x:c r="E9" s="66" t="str">
        <x:v>Trip and inhibit P-101A/B</x:v>
      </x:c>
      <x:c r="F9" s="66" t="str">
        <x:v>Manual above 20%</x:v>
      </x:c>
    </x:row>
    <x:row r="10" ht="34" customHeight="1">
      <x:c r="A10" s="66" t="str">
        <x:v>A-006</x:v>
      </x:c>
      <x:c r="B10" s="66" t="str">
        <x:v>Protection-channel spread &gt; 5%</x:v>
      </x:c>
      <x:c r="C10" s="66" t="str">
        <x:v>Medium</x:v>
      </x:c>
      <x:c r="D10" s="66" t="str">
        <x:v>5 s</x:v>
      </x:c>
      <x:c r="E10" s="66" t="str">
        <x:v>Identify disagreeing channel; degraded alarm</x:v>
      </x:c>
      <x:c r="F10" s="66" t="str">
        <x:v>Healthy + acknowledge</x:v>
      </x:c>
    </x:row>
    <x:row r="11" ht="34" customHeight="1">
      <x:c r="A11" s="66" t="str">
        <x:v>A-007</x:v>
      </x:c>
      <x:c r="B11" s="66" t="str">
        <x:v>Any protection channel invalid</x:v>
      </x:c>
      <x:c r="C11" s="66" t="str">
        <x:v>High</x:v>
      </x:c>
      <x:c r="D11" s="66" t="str">
        <x:v>1 s</x:v>
      </x:c>
      <x:c r="E11" s="66" t="str">
        <x:v>Degraded alarm; block protective reset</x:v>
      </x:c>
      <x:c r="F11" s="66" t="str">
        <x:v>All channels valid</x:v>
      </x:c>
    </x:row>
    <x:row r="12" ht="34" customHeight="1">
      <x:c r="A12" s="66" t="str">
        <x:v>A-008</x:v>
      </x:c>
      <x:c r="B12" s="66" t="str">
        <x:v>Pump command with no run feedback</x:v>
      </x:c>
      <x:c r="C12" s="66" t="str">
        <x:v>High</x:v>
      </x:c>
      <x:c r="D12" s="66" t="str">
        <x:v>5 s</x:v>
      </x:c>
      <x:c r="E12" s="66" t="str">
        <x:v>Fail start; mark unavailable; start healthy standby</x:v>
      </x:c>
      <x:c r="F12" s="66" t="str">
        <x:v>Manual / auto transfer</x:v>
      </x:c>
    </x:row>
    <x:row r="13" ht="34" customHeight="1">
      <x:c r="A13" s="66" t="str">
        <x:v>A-009</x:v>
      </x:c>
      <x:c r="B13" s="66" t="str">
        <x:v>Run feedback lost with command active</x:v>
      </x:c>
      <x:c r="C13" s="66" t="str">
        <x:v>High</x:v>
      </x:c>
      <x:c r="D13" s="66" t="str">
        <x:v>0.5 s</x:v>
      </x:c>
      <x:c r="E13" s="66" t="str">
        <x:v>Remove command; transfer to healthy standby</x:v>
      </x:c>
      <x:c r="F13" s="66" t="str">
        <x:v>Manual</x:v>
      </x:c>
    </x:row>
    <x:row r="14" ht="34" customHeight="1">
      <x:c r="A14" s="66" t="str">
        <x:v>A-010</x:v>
      </x:c>
      <x:c r="B14" s="66" t="str">
        <x:v>VFD fault or motor overload</x:v>
      </x:c>
      <x:c r="C14" s="66" t="str">
        <x:v>High</x:v>
      </x:c>
      <x:c r="D14" s="66" t="str">
        <x:v>0 s</x:v>
      </x:c>
      <x:c r="E14" s="66" t="str">
        <x:v>Stop affected pump; latch fault; transfer duty</x:v>
      </x:c>
      <x:c r="F14" s="66" t="str">
        <x:v>Manual</x:v>
      </x:c>
    </x:row>
    <x:row r="15" ht="34" customHeight="1">
      <x:c r="A15" s="66" t="str">
        <x:v>A-011</x:v>
      </x:c>
      <x:c r="B15" s="66" t="str">
        <x:v>Speed deviation &gt; 10%</x:v>
      </x:c>
      <x:c r="C15" s="66" t="str">
        <x:v>Medium</x:v>
      </x:c>
      <x:c r="D15" s="66" t="str">
        <x:v>5 s</x:v>
      </x:c>
      <x:c r="E15" s="66" t="str">
        <x:v>Alarm; hold changeover; transfer if performance inadequate</x:v>
      </x:c>
      <x:c r="F15" s="66" t="str">
        <x:v>Auto clear / manual</x:v>
      </x:c>
    </x:row>
    <x:row r="16" ht="34" customHeight="1">
      <x:c r="A16" s="66" t="str">
        <x:v>A-012</x:v>
      </x:c>
      <x:c r="B16" s="66" t="str">
        <x:v>Low discharge flow while running</x:v>
      </x:c>
      <x:c r="C16" s="66" t="str">
        <x:v>High</x:v>
      </x:c>
      <x:c r="D16" s="66" t="str">
        <x:v>5 s</x:v>
      </x:c>
      <x:c r="E16" s="66" t="str">
        <x:v>Stop affected pump; attempt standby transfer</x:v>
      </x:c>
      <x:c r="F16" s="66" t="str">
        <x:v>Manual</x:v>
      </x:c>
    </x:row>
    <x:row r="17" ht="34" customHeight="1">
      <x:c r="A17" s="66" t="str">
        <x:v>A-013</x:v>
      </x:c>
      <x:c r="B17" s="66" t="str">
        <x:v>Both pumps unavailable</x:v>
      </x:c>
      <x:c r="C17" s="66" t="str">
        <x:v>High</x:v>
      </x:c>
      <x:c r="D17" s="66" t="str">
        <x:v>0 s</x:v>
      </x:c>
      <x:c r="E17" s="66" t="str">
        <x:v>High-priority alarm; close inlet as level rises</x:v>
      </x:c>
      <x:c r="F17" s="66" t="str">
        <x:v>Availability restored</x:v>
      </x:c>
    </x:row>
    <x:row r="18" ht="34" customHeight="1">
      <x:c r="A18" s="66" t="str">
        <x:v>A-014</x:v>
      </x:c>
      <x:c r="B18" s="66" t="str">
        <x:v>LCV demand/position mismatch</x:v>
      </x:c>
      <x:c r="C18" s="66" t="str">
        <x:v>High</x:v>
      </x:c>
      <x:c r="D18" s="66" t="str">
        <x:v>5 s</x:v>
      </x:c>
      <x:c r="E18" s="66" t="str">
        <x:v>Alarm; inhibit unsafe restart</x:v>
      </x:c>
      <x:c r="F18" s="66" t="str">
        <x:v>Manual</x:v>
      </x:c>
    </x:row>
  </x:sheetData>
  <x:mergeCells>
    <x:mergeCell ref="A1:F1"/>
    <x:mergeCell ref="A2:F2"/>
  </x:mergeCells>
  <x:conditionalFormatting sqref="C5:C18">
    <x:cfRule type="containsText" dxfId="0" priority="1" operator="containsText" text="Trip"/>
    <x:cfRule type="containsText" dxfId="1" priority="2" operator="containsText" text="High"/>
  </x:conditionalFormatting>
  <x:dataValidations count="1">
    <x:dataValidation type="list" sqref="C5:C18">
      <x:formula1>"Trip,High,Medium,Low"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c6e4cac7c046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7" hidden="0" customWidth="1"/>
    <x:col min="3" max="3" width="24" hidden="0" customWidth="1"/>
    <x:col min="4" max="4" width="42" hidden="0" customWidth="1"/>
    <x:col min="5" max="5" width="12" hidden="0" customWidth="1"/>
    <x:col min="6" max="6" width="23" hidden="0" customWidth="1"/>
  </x:cols>
  <x:sheetData>
    <x:row r="1" ht="32" customHeight="1">
      <x:c r="A1" s="47" t="str">
        <x:v>Functional Test Register</x:v>
      </x:c>
      <x:c r="B1" s="47"/>
      <x:c r="C1" s="47"/>
      <x:c r="D1" s="47"/>
      <x:c r="E1" s="47"/>
      <x:c r="F1" s="47"/>
    </x:row>
    <x:row r="2" ht="24" customHeight="1">
      <x:c r="A2" s="49" t="str">
        <x:v>Desktop PASS does not represent hardware FAT or SAT.</x:v>
      </x:c>
      <x:c r="B2" s="49"/>
      <x:c r="C2" s="49"/>
      <x:c r="D2" s="49"/>
      <x:c r="E2" s="49"/>
      <x:c r="F2" s="49"/>
    </x:row>
    <x:row r="4" ht="34" customHeight="1">
      <x:c r="A4" s="57" t="str">
        <x:v>Test ID</x:v>
      </x:c>
      <x:c r="B4" s="58" t="str">
        <x:v>Scenario</x:v>
      </x:c>
      <x:c r="C4" s="58" t="str">
        <x:v>Preconditions</x:v>
      </x:c>
      <x:c r="D4" s="58" t="str">
        <x:v>Expected Result</x:v>
      </x:c>
      <x:c r="E4" s="58" t="str">
        <x:v>Result</x:v>
      </x:c>
      <x:c r="F4" s="59" t="str">
        <x:v>Evidence</x:v>
      </x:c>
    </x:row>
    <x:row r="5" ht="34" customHeight="1">
      <x:c r="A5" s="65" t="str">
        <x:v>WT-001</x:v>
      </x:c>
      <x:c r="B5" s="65" t="str">
        <x:v>Normal automatic start</x:v>
      </x:c>
      <x:c r="C5" s="65" t="str">
        <x:v>Level 55%; duty A ready</x:v>
      </x:c>
      <x:c r="D5" s="65" t="str">
        <x:v>A starts at minimum speed; tracked auto control enabled</x:v>
      </x:c>
      <x:c r="E5" s="65" t="str">
        <x:v>PASS</x:v>
      </x:c>
      <x:c r="F5" s="65" t="str">
        <x:v>Reference model + HTML</x:v>
      </x:c>
    </x:row>
    <x:row r="6" ht="34" customHeight="1">
      <x:c r="A6" s="66" t="str">
        <x:v>WT-002</x:v>
      </x:c>
      <x:c r="B6" s="66" t="str">
        <x:v>High-level disturbance</x:v>
      </x:c>
      <x:c r="C6" s="66" t="str">
        <x:v>Auto stable</x:v>
      </x:c>
      <x:c r="D6" s="66" t="str">
        <x:v>LCV closes progressively; discharge speed increases</x:v>
      </x:c>
      <x:c r="E6" s="66" t="str">
        <x:v>PASS</x:v>
      </x:c>
      <x:c r="F6" s="66" t="str">
        <x:v>Reference model + HTML</x:v>
      </x:c>
    </x:row>
    <x:row r="7" ht="34" customHeight="1">
      <x:c r="A7" s="66" t="str">
        <x:v>WT-003</x:v>
      </x:c>
      <x:c r="B7" s="66" t="str">
        <x:v>Low-level disturbance</x:v>
      </x:c>
      <x:c r="C7" s="66" t="str">
        <x:v>Auto stable above LL</x:v>
      </x:c>
      <x:c r="D7" s="66" t="str">
        <x:v>LCV opens; discharge speed reduces toward minimum</x:v>
      </x:c>
      <x:c r="E7" s="66" t="str">
        <x:v>PASS</x:v>
      </x:c>
      <x:c r="F7" s="66" t="str">
        <x:v>Reference model + HTML</x:v>
      </x:c>
    </x:row>
    <x:row r="8" ht="34" customHeight="1">
      <x:c r="A8" s="66" t="str">
        <x:v>WT-004</x:v>
      </x:c>
      <x:c r="B8" s="66" t="str">
        <x:v>Duty changeover A to B</x:v>
      </x:c>
      <x:c r="C8" s="66" t="str">
        <x:v>Both pumps ready</x:v>
      </x:c>
      <x:c r="D8" s="66" t="str">
        <x:v>B reaches tracked demand before A stops</x:v>
      </x:c>
      <x:c r="E8" s="66" t="str">
        <x:v>PASS</x:v>
      </x:c>
      <x:c r="F8" s="66" t="str">
        <x:v>HTML simulation</x:v>
      </x:c>
    </x:row>
    <x:row r="9" ht="34" customHeight="1">
      <x:c r="A9" s="66" t="str">
        <x:v>WT-005</x:v>
      </x:c>
      <x:c r="B9" s="66" t="str">
        <x:v>Duty-pump failure</x:v>
      </x:c>
      <x:c r="C9" s="66" t="str">
        <x:v>A duty; B ready</x:v>
      </x:c>
      <x:c r="D9" s="66" t="str">
        <x:v>A is removed and B assumes duty</x:v>
      </x:c>
      <x:c r="E9" s="66" t="str">
        <x:v>PASS</x:v>
      </x:c>
      <x:c r="F9" s="66" t="str">
        <x:v>HTML fault injection</x:v>
      </x:c>
    </x:row>
    <x:row r="10" ht="34" customHeight="1">
      <x:c r="A10" s="66" t="str">
        <x:v>WT-006</x:v>
      </x:c>
      <x:c r="B10" s="66" t="str">
        <x:v>PCS LT burnout</x:v>
      </x:c>
      <x:c r="C10" s="66" t="str">
        <x:v>Auto running</x:v>
      </x:c>
      <x:c r="D10" s="66" t="str">
        <x:v>Inlet closes; new auto starts blocked; protection remains available</x:v>
      </x:c>
      <x:c r="E10" s="66" t="str">
        <x:v>PASS</x:v>
      </x:c>
      <x:c r="F10" s="66" t="str">
        <x:v>Reference model</x:v>
      </x:c>
    </x:row>
    <x:row r="11" ht="34" customHeight="1">
      <x:c r="A11" s="66" t="str">
        <x:v>WT-007</x:v>
      </x:c>
      <x:c r="B11" s="66" t="str">
        <x:v>One LT-201 channel high</x:v>
      </x:c>
      <x:c r="C11" s="66" t="str">
        <x:v>Other channels normal</x:v>
      </x:c>
      <x:c r="D11" s="66" t="str">
        <x:v>No HH trip; disagreement/degraded indication</x:v>
      </x:c>
      <x:c r="E11" s="66" t="str">
        <x:v>PASS</x:v>
      </x:c>
      <x:c r="F11" s="66" t="str">
        <x:v>Reference model + HTML</x:v>
      </x:c>
    </x:row>
    <x:row r="12" ht="34" customHeight="1">
      <x:c r="A12" s="66" t="str">
        <x:v>WT-008</x:v>
      </x:c>
      <x:c r="B12" s="66" t="str">
        <x:v>Two channels high-high</x:v>
      </x:c>
      <x:c r="C12" s="66" t="str">
        <x:v>Protection healthy</x:v>
      </x:c>
      <x:c r="D12" s="66" t="str">
        <x:v>Inlet trip latches; discharge pump remains available</x:v>
      </x:c>
      <x:c r="E12" s="66" t="str">
        <x:v>PASS</x:v>
      </x:c>
      <x:c r="F12" s="66" t="str">
        <x:v>Reference model + HTML</x:v>
      </x:c>
    </x:row>
    <x:row r="13" ht="34" customHeight="1">
      <x:c r="A13" s="66" t="str">
        <x:v>WT-009</x:v>
      </x:c>
      <x:c r="B13" s="66" t="str">
        <x:v>One LT-201 channel low</x:v>
      </x:c>
      <x:c r="C13" s="66" t="str">
        <x:v>Other channels normal</x:v>
      </x:c>
      <x:c r="D13" s="66" t="str">
        <x:v>No LL trip</x:v>
      </x:c>
      <x:c r="E13" s="66" t="str">
        <x:v>PASS</x:v>
      </x:c>
      <x:c r="F13" s="66" t="str">
        <x:v>Reference model</x:v>
      </x:c>
    </x:row>
    <x:row r="14" ht="34" customHeight="1">
      <x:c r="A14" s="66" t="str">
        <x:v>WT-010</x:v>
      </x:c>
      <x:c r="B14" s="66" t="str">
        <x:v>Two channels low-low</x:v>
      </x:c>
      <x:c r="C14" s="66" t="str">
        <x:v>Protection healthy</x:v>
      </x:c>
      <x:c r="D14" s="66" t="str">
        <x:v>Both pumps trip and restart is inhibited</x:v>
      </x:c>
      <x:c r="E14" s="66" t="str">
        <x:v>PASS</x:v>
      </x:c>
      <x:c r="F14" s="66" t="str">
        <x:v>Reference model + HTML</x:v>
      </x:c>
    </x:row>
    <x:row r="15" ht="34" customHeight="1">
      <x:c r="A15" s="66" t="str">
        <x:v>WT-011</x:v>
      </x:c>
      <x:c r="B15" s="66" t="str">
        <x:v>Reset with active cause</x:v>
      </x:c>
      <x:c r="C15" s="66" t="str">
        <x:v>HH or LL remains active</x:v>
      </x:c>
      <x:c r="D15" s="66" t="str">
        <x:v>Reset rejected</x:v>
      </x:c>
      <x:c r="E15" s="66" t="str">
        <x:v>PASS</x:v>
      </x:c>
      <x:c r="F15" s="66" t="str">
        <x:v>Design inspection + HTML</x:v>
      </x:c>
    </x:row>
    <x:row r="16" ht="34" customHeight="1">
      <x:c r="A16" s="66" t="str">
        <x:v>WT-012</x:v>
      </x:c>
      <x:c r="B16" s="66" t="str">
        <x:v>Channel invalid</x:v>
      </x:c>
      <x:c r="C16" s="66" t="str">
        <x:v>Trip latched</x:v>
      </x:c>
      <x:c r="D16" s="66" t="str">
        <x:v>Degraded alarm; reset blocked</x:v>
      </x:c>
      <x:c r="E16" s="66" t="str">
        <x:v>PASS</x:v>
      </x:c>
      <x:c r="F16" s="66" t="str">
        <x:v>Code inspection</x:v>
      </x:c>
    </x:row>
  </x:sheetData>
  <x:mergeCells>
    <x:mergeCell ref="A1:F1"/>
    <x:mergeCell ref="A2:F2"/>
  </x:mergeCells>
  <x:conditionalFormatting sqref="E5:E16">
    <x:cfRule type="containsText" dxfId="2" priority="1" operator="containsText" text="PASS"/>
    <x:cfRule type="containsText" dxfId="3" priority="2" operator="containsText" text="FAIL"/>
  </x:conditionalFormatting>
  <x:dataValidations count="1">
    <x:dataValidation type="list" sqref="E5:E16">
      <x:formula1>"PASS,FAIL,PLANNED,NOT 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0c72425b1d4e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5" hidden="0" customWidth="1"/>
    <x:col min="4" max="4" width="42" hidden="0" customWidth="1"/>
  </x:cols>
  <x:sheetData>
    <x:row r="1" ht="32" customHeight="1">
      <x:c r="A1" s="47" t="str">
        <x:v>Illustrative Setpoint Register</x:v>
      </x:c>
      <x:c r="B1" s="47"/>
      <x:c r="C1" s="47"/>
      <x:c r="D1" s="47"/>
    </x:row>
    <x:row r="2" ht="24" customHeight="1">
      <x:c r="A2" s="49" t="str">
        <x:v>Simulation values only - not recommended plant setpoints.</x:v>
      </x:c>
      <x:c r="B2" s="49"/>
      <x:c r="C2" s="49"/>
      <x:c r="D2" s="49"/>
    </x:row>
    <x:row r="4" ht="34" customHeight="1">
      <x:c r="A4" s="57" t="str">
        <x:v>Parameter</x:v>
      </x:c>
      <x:c r="B4" s="58" t="str">
        <x:v>Value</x:v>
      </x:c>
      <x:c r="C4" s="58" t="str">
        <x:v>Units</x:v>
      </x:c>
      <x:c r="D4" s="59" t="str">
        <x:v>Purpose</x:v>
      </x:c>
    </x:row>
    <x:row r="5" ht="34" customHeight="1">
      <x:c r="A5" s="65" t="str">
        <x:v>Normal level setpoint</x:v>
      </x:c>
      <x:c r="B5" s="67" t="str">
        <x:v>55</x:v>
      </x:c>
      <x:c r="C5" s="65" t="str">
        <x:v>%</x:v>
      </x:c>
      <x:c r="D5" s="65" t="str">
        <x:v>PCS target</x:v>
      </x:c>
    </x:row>
    <x:row r="6" ht="34" customHeight="1">
      <x:c r="A6" s="66" t="str">
        <x:v>High-level alarm</x:v>
      </x:c>
      <x:c r="B6" s="68" t="str">
        <x:v>80</x:v>
      </x:c>
      <x:c r="C6" s="66" t="str">
        <x:v>%</x:v>
      </x:c>
      <x:c r="D6" s="66" t="str">
        <x:v>Operator warning</x:v>
      </x:c>
    </x:row>
    <x:row r="7" ht="34" customHeight="1">
      <x:c r="A7" s="66" t="str">
        <x:v>High-high trip</x:v>
      </x:c>
      <x:c r="B7" s="68" t="str">
        <x:v>90</x:v>
      </x:c>
      <x:c r="C7" s="66" t="str">
        <x:v>%</x:v>
      </x:c>
      <x:c r="D7" s="66" t="str">
        <x:v>2oo3 inlet shutdown</x:v>
      </x:c>
    </x:row>
    <x:row r="8" ht="34" customHeight="1">
      <x:c r="A8" s="66" t="str">
        <x:v>High-high reset</x:v>
      </x:c>
      <x:c r="B8" s="68" t="str">
        <x:v>85</x:v>
      </x:c>
      <x:c r="C8" s="66" t="str">
        <x:v>%</x:v>
      </x:c>
      <x:c r="D8" s="66" t="str">
        <x:v>Reset hysteresis</x:v>
      </x:c>
    </x:row>
    <x:row r="9" ht="34" customHeight="1">
      <x:c r="A9" s="66" t="str">
        <x:v>Low-level alarm</x:v>
      </x:c>
      <x:c r="B9" s="68" t="str">
        <x:v>25</x:v>
      </x:c>
      <x:c r="C9" s="66" t="str">
        <x:v>%</x:v>
      </x:c>
      <x:c r="D9" s="66" t="str">
        <x:v>Operator warning</x:v>
      </x:c>
    </x:row>
    <x:row r="10" ht="34" customHeight="1">
      <x:c r="A10" s="66" t="str">
        <x:v>Low-low trip</x:v>
      </x:c>
      <x:c r="B10" s="68" t="str">
        <x:v>15</x:v>
      </x:c>
      <x:c r="C10" s="66" t="str">
        <x:v>%</x:v>
      </x:c>
      <x:c r="D10" s="66" t="str">
        <x:v>2oo3 pump shutdown</x:v>
      </x:c>
    </x:row>
    <x:row r="11" ht="34" customHeight="1">
      <x:c r="A11" s="66" t="str">
        <x:v>Low-low reset</x:v>
      </x:c>
      <x:c r="B11" s="68" t="str">
        <x:v>20</x:v>
      </x:c>
      <x:c r="C11" s="66" t="str">
        <x:v>%</x:v>
      </x:c>
      <x:c r="D11" s="66" t="str">
        <x:v>Reset hysteresis</x:v>
      </x:c>
    </x:row>
    <x:row r="12" ht="34" customHeight="1">
      <x:c r="A12" s="66" t="str">
        <x:v>Channel disagreement</x:v>
      </x:c>
      <x:c r="B12" s="68" t="str">
        <x:v>5</x:v>
      </x:c>
      <x:c r="C12" s="66" t="str">
        <x:v>% span</x:v>
      </x:c>
      <x:c r="D12" s="66" t="str">
        <x:v>Degraded alarm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5d1834d1c2c46a1"/>
  </x:tableParts>
</x:worksheet>
</file>